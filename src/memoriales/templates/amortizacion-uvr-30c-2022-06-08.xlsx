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ámetros" sheetId="1" state="visible" r:id="rId3"/>
    <sheet name="Amortizació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<sst xmlns="http://schemas.openxmlformats.org/spreadsheetml/2006/main" count="29" uniqueCount="29">
  <si>
    <t xml:space="preserve">Crédito hipotecario en UVR — Parámetros</t>
  </si>
  <si>
    <t xml:space="preserve">Monto del crédito (UVR)</t>
  </si>
  <si>
    <t xml:space="preserve">Tasa base E.A.</t>
  </si>
  <si>
    <t xml:space="preserve">Número de cuotas</t>
  </si>
  <si>
    <t xml:space="preserve">Fecha primera cuota</t>
  </si>
  <si>
    <t xml:space="preserve">Cuota esperada (UVR) — validación</t>
  </si>
  <si>
    <t xml:space="preserve">—</t>
  </si>
  <si>
    <t xml:space="preserve">Tramos de tasa</t>
  </si>
  <si>
    <t xml:space="preserve">Desde cuota</t>
  </si>
  <si>
    <t xml:space="preserve">Tasa E.A.</t>
  </si>
  <si>
    <t xml:space="preserve">i_m mensual</t>
  </si>
  <si>
    <t xml:space="preserve">Cuota del tramo (UVR)</t>
  </si>
  <si>
    <t xml:space="preserve">Refrendamientos</t>
  </si>
  <si>
    <t xml:space="preserve">Diferencia cuota 1er tramo vs esperada</t>
  </si>
  <si>
    <t xml:space="preserve">¿Cuota coincide (± 0,0001)?</t>
  </si>
  <si>
    <t xml:space="preserve">Plan de amortización — cuota constante en UVR (sistema francés)</t>
  </si>
  <si>
    <t xml:space="preserve">N° cuota</t>
  </si>
  <si>
    <t xml:space="preserve">Fecha de pago</t>
  </si>
  <si>
    <t xml:space="preserve">Saldo inicial (UVR)</t>
  </si>
  <si>
    <t xml:space="preserve">Cuota total (UVR)</t>
  </si>
  <si>
    <t xml:space="preserve">Interés remuneratorio (UVR)</t>
  </si>
  <si>
    <t xml:space="preserve">Abono a capital (UVR)</t>
  </si>
  <si>
    <t xml:space="preserve">Saldo final (UVR)</t>
  </si>
  <si>
    <t xml:space="preserve">Total pagado (UVR)</t>
  </si>
  <si>
    <t xml:space="preserve">Total intereses (UVR)</t>
  </si>
  <si>
    <t xml:space="preserve">Total capital amortizado (UVR)</t>
  </si>
  <si>
    <t xml:space="preserve">Refrendamientos (criterios de aceptación)</t>
  </si>
  <si>
    <t xml:space="preserve">Saldo final última cuota = 0</t>
  </si>
  <si>
    <t xml:space="preserve">Capital amortizado = monto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</si>
</sst>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240A]#,##0.0000"/>
    <numFmt numFmtId="166" formatCode="[$-240A]0.0000%"/>
    <numFmt numFmtId="167" formatCode="[$-240A]#,##0"/>
    <numFmt numFmtId="168" formatCode="[$-240A]dd/mm/yyyy"/>
    <numFmt numFmtId="169" formatCode="[$-240A]#,##0.0000;\-#,##0.0000;\-"/>
  </numFmts>
  <fonts count="9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38.83"/>
    <col collapsed="false" customWidth="true" hidden="false" outlineLevel="0" max="2" min="2" style="0" width="20.83"/>
    <col collapsed="false" customWidth="true" hidden="false" outlineLevel="0" max="3" min="3" style="0" width="16.83"/>
    <col collapsed="false" customWidth="true" hidden="false" outlineLevel="0" max="4" min="4" style="0" width="22.83"/>
  </cols>
  <sheetData>
    <row r="1" customFormat="false" ht="16.15" hidden="false" customHeight="false" outlineLevel="0" collapsed="false">
      <c r="A1" s="1" t="s">
        <v>0</v>
      </c>
    </row>
    <row r="2" customFormat="false" ht="13.8" hidden="false" customHeight="false" outlineLevel="0" collapsed="false"/>
    <row r="3" customFormat="false" ht="13.8" hidden="false" customHeight="false" outlineLevel="0" collapsed="false">
      <c r="A3" s="2" t="s">
        <v>1</v>
      </c>
      <c r="B3" s="3" t="n">
        <v>1573589945</v>
      </c>
    </row>
    <row r="4" customFormat="false" ht="13.8" hidden="false" customHeight="false" outlineLevel="0" collapsed="false">
      <c r="A4" s="2" t="s">
        <v>2</v>
      </c>
      <c r="B4" s="4" t="n">
        <v>0.083</v>
      </c>
    </row>
    <row r="5" customFormat="false" ht="13.8" hidden="false" customHeight="false" outlineLevel="0" collapsed="false">
      <c r="A5" s="2" t="s">
        <v>3</v>
      </c>
      <c r="B5" s="5" t="n">
        <v>800</v>
      </c>
    </row>
    <row r="6" customFormat="false" ht="13.8" hidden="false" customHeight="false" outlineLevel="0" collapsed="false">
      <c r="A6" s="2" t="s">
        <v>4</v>
      </c>
      <c r="B6" s="6" t="n">
        <v>44720</v>
      </c>
    </row>
    <row r="7" customFormat="false" ht="13.8" hidden="false" customHeight="false" outlineLevel="0" collapsed="false">
      <c r="A7" s="2" t="s">
        <v>5</v>
      </c>
      <c r="B7" s="6" t="s">
        <v>6</v>
      </c>
    </row>
    <row r="8" customFormat="false" ht="13.8" hidden="false" customHeight="false" outlineLevel="0" collapsed="false">
      <c r="A8" s="2" t="s">
        <v>7</v>
      </c>
    </row>
    <row r="9" customFormat="false" ht="13.8" hidden="false" customHeight="false" outlineLevel="0" collapsed="false">
      <c r="A9" s="7" t="s">
        <v>8</v>
      </c>
      <c r="B9" s="7" t="s">
        <v>9</v>
      </c>
      <c r="C9" s="7" t="s">
        <v>10</v>
      </c>
      <c r="D9" s="7" t="s">
        <v>11</v>
      </c>
    </row>
    <row r="10" customFormat="false" ht="13.8" hidden="false" customHeight="false" outlineLevel="0" collapsed="false">
      <c r="A10" s="8" t="n">
        <v>1</v>
      </c>
      <c r="B10" s="9" t="n">
        <v>0.083</v>
      </c>
      <c r="C10" s="9" t="n">
        <f aca="false">(1+B10)^(1/12)-1</f>
        <v>0.00666670486923371</v>
      </c>
      <c r="D10" s="10" t="n">
        <f aca="false">Amortización!$C$5*C10/(1-(1+C10)^(-($B$5-A10+1)))</f>
        <v>10542465.5522076</v>
      </c>
    </row>
    <row r="11" customFormat="false" ht="13.8" hidden="false" customHeight="false" outlineLevel="0" collapsed="false">
      <c r="A11" s="8" t="n">
        <v>7</v>
      </c>
      <c r="B11" s="9" t="n">
        <v>0.0968</v>
      </c>
      <c r="C11" s="9" t="n">
        <f aca="false">(1+B11)^(1/12)-1</f>
        <v>0.0077294566448709</v>
      </c>
      <c r="D11" s="10" t="n">
        <f aca="false">Amortización!$C$11*C11/(1-(1+C11)^(-($B$5-A11+1)))</f>
        <v>12187518.2517749</v>
      </c>
    </row>
    <row r="12" customFormat="false" ht="13.8" hidden="false" customHeight="false" outlineLevel="0" collapsed="false"/>
    <row r="13" customFormat="false" ht="13.8" hidden="false" customHeight="false" outlineLevel="0" collapsed="false">
      <c r="A13" s="10" t="s">
        <v>12</v>
      </c>
    </row>
    <row r="14" customFormat="false" ht="13.8" hidden="false" customHeight="false" outlineLevel="0" collapsed="false">
      <c r="A14" s="9" t="s">
        <v>13</v>
      </c>
      <c r="B14" s="10" t="str">
        <f aca="false">IF(ISNUMBER($B$7),D10-$B$7,"(sin referencia)")</f>
        <v>(sin referencia)</v>
      </c>
    </row>
    <row r="15" customFormat="false" ht="13.8" hidden="false" customHeight="false" outlineLevel="0" collapsed="false">
      <c r="A15" s="9" t="s">
        <v>14</v>
      </c>
      <c r="B15" s="10" t="str">
        <f aca="false">IF(NOT(ISNUMBER($B$7)),"(sin ref.)",IF(ABS(D10-$B$7)&lt;=0.0001,"OK","REVISAR"))</f>
        <v>(sin ref.)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9" activeCellId="0" sqref="F39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0.83"/>
    <col collapsed="false" customWidth="true" hidden="false" outlineLevel="0" max="2" min="2" style="0" width="15.83"/>
    <col collapsed="false" customWidth="true" hidden="false" outlineLevel="0" max="4" min="3" style="0" width="20.83"/>
    <col collapsed="false" customWidth="true" hidden="false" outlineLevel="0" max="5" min="5" style="0" width="22.83"/>
    <col collapsed="false" customWidth="true" hidden="false" outlineLevel="0" max="7" min="6" style="0" width="20.83"/>
  </cols>
  <sheetData>
    <row r="1" customFormat="false" ht="16.15" hidden="false" customHeight="false" outlineLevel="0" collapsed="false">
      <c r="A1" s="1" t="s">
        <v>15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25.55" hidden="false" customHeight="false" outlineLevel="0" collapsed="false">
      <c r="A4" s="7" t="s">
        <v>16</v>
      </c>
      <c r="B4" s="7" t="s">
        <v>17</v>
      </c>
      <c r="C4" s="7" t="s">
        <v>18</v>
      </c>
      <c r="D4" s="7" t="s">
        <v>19</v>
      </c>
      <c r="E4" s="7" t="s">
        <v>20</v>
      </c>
      <c r="F4" s="7" t="s">
        <v>21</v>
      </c>
      <c r="G4" s="7" t="s">
        <v>22</v>
      </c>
    </row>
    <row r="5" customFormat="false" ht="13.8" hidden="false" customHeight="false" outlineLevel="0" collapsed="false">
      <c r="A5" s="8" t="n">
        <v>1</v>
      </c>
      <c r="B5" s="11" t="n">
        <f aca="false">EDATE(Parámetros!$B$6,A5-1)</f>
        <v>44720</v>
      </c>
      <c r="C5" s="12" t="n">
        <f aca="false">Parámetros!$B$3</f>
        <v>1573589945</v>
      </c>
      <c r="D5" s="12" t="n">
        <f aca="false">LOOKUP(A5,Parámetros!$A$10:$A$11,Parámetros!$D$10:$D$11)</f>
        <v>10542465.5522076</v>
      </c>
      <c r="E5" s="12" t="n">
        <f aca="false">C5*LOOKUP(A5,Parámetros!$A$10:$A$11,Parámetros!$C$10:$C$11)</f>
        <v>10490659.7485087</v>
      </c>
      <c r="F5" s="12" t="n">
        <f aca="false">D5-E5</f>
        <v>51805.8036989011</v>
      </c>
      <c r="G5" s="13" t="n">
        <f aca="false">C5-F5</f>
        <v>1573538139.1963</v>
      </c>
    </row>
    <row r="6" customFormat="false" ht="13.8" hidden="false" customHeight="false" outlineLevel="0" collapsed="false">
      <c r="A6" s="8" t="n">
        <v>2</v>
      </c>
      <c r="B6" s="11" t="n">
        <f aca="false">EDATE(Parámetros!$B$6,A6-1)</f>
        <v>44750</v>
      </c>
      <c r="C6" s="12" t="n">
        <f aca="false">G5</f>
        <v>1573538139.1963</v>
      </c>
      <c r="D6" s="12" t="n">
        <f aca="false">LOOKUP(A6,Parámetros!$A$10:$A$11,Parámetros!$D$10:$D$11)</f>
        <v>10542465.5522076</v>
      </c>
      <c r="E6" s="12" t="n">
        <f aca="false">C6*LOOKUP(A6,Parámetros!$A$10:$A$11,Parámetros!$C$10:$C$11)</f>
        <v>10490314.3745049</v>
      </c>
      <c r="F6" s="12" t="n">
        <f aca="false">D6-E6</f>
        <v>52151.1777026765</v>
      </c>
      <c r="G6" s="13" t="n">
        <f aca="false">C6-F6</f>
        <v>1573485988.0186</v>
      </c>
    </row>
    <row r="7" customFormat="false" ht="13.8" hidden="false" customHeight="false" outlineLevel="0" collapsed="false">
      <c r="A7" s="8" t="n">
        <v>3</v>
      </c>
      <c r="B7" s="11" t="n">
        <f aca="false">EDATE(Parámetros!$B$6,A7-1)</f>
        <v>44781</v>
      </c>
      <c r="C7" s="12" t="n">
        <f aca="false">G6</f>
        <v>1573485988.0186</v>
      </c>
      <c r="D7" s="12" t="n">
        <f aca="false">LOOKUP(A7,Parámetros!$A$10:$A$11,Parámetros!$D$10:$D$11)</f>
        <v>10542465.5522076</v>
      </c>
      <c r="E7" s="12" t="n">
        <f aca="false">C7*LOOKUP(A7,Parámetros!$A$10:$A$11,Parámetros!$C$10:$C$11)</f>
        <v>10489966.6979946</v>
      </c>
      <c r="F7" s="12" t="n">
        <f aca="false">D7-E7</f>
        <v>52498.8542130031</v>
      </c>
      <c r="G7" s="13" t="n">
        <f aca="false">C7-F7</f>
        <v>1573433489.16439</v>
      </c>
    </row>
    <row r="8" customFormat="false" ht="13.8" hidden="false" customHeight="false" outlineLevel="0" collapsed="false">
      <c r="A8" s="8" t="n">
        <v>4</v>
      </c>
      <c r="B8" s="11" t="n">
        <f aca="false">EDATE(Parámetros!$B$6,A8-1)</f>
        <v>44812</v>
      </c>
      <c r="C8" s="12" t="n">
        <f aca="false">G7</f>
        <v>1573433489.16439</v>
      </c>
      <c r="D8" s="12" t="n">
        <f aca="false">LOOKUP(A8,Parámetros!$A$10:$A$11,Parámetros!$D$10:$D$11)</f>
        <v>10542465.5522076</v>
      </c>
      <c r="E8" s="12" t="n">
        <f aca="false">C8*LOOKUP(A8,Parámetros!$A$10:$A$11,Parámetros!$C$10:$C$11)</f>
        <v>10489616.7036276</v>
      </c>
      <c r="F8" s="12" t="n">
        <f aca="false">D8-E8</f>
        <v>52848.848580014</v>
      </c>
      <c r="G8" s="13" t="n">
        <f aca="false">C8-F8</f>
        <v>1573380640.31581</v>
      </c>
    </row>
    <row r="9" customFormat="false" ht="13.8" hidden="false" customHeight="false" outlineLevel="0" collapsed="false">
      <c r="A9" s="8" t="n">
        <v>5</v>
      </c>
      <c r="B9" s="11" t="n">
        <f aca="false">EDATE(Parámetros!$B$6,A9-1)</f>
        <v>44842</v>
      </c>
      <c r="C9" s="12" t="n">
        <f aca="false">G8</f>
        <v>1573380640.31581</v>
      </c>
      <c r="D9" s="12" t="n">
        <f aca="false">LOOKUP(A9,Parámetros!$A$10:$A$11,Parámetros!$D$10:$D$11)</f>
        <v>10542465.5522076</v>
      </c>
      <c r="E9" s="12" t="n">
        <f aca="false">C9*LOOKUP(A9,Parámetros!$A$10:$A$11,Parámetros!$C$10:$C$11)</f>
        <v>10489264.3759514</v>
      </c>
      <c r="F9" s="12" t="n">
        <f aca="false">D9-E9</f>
        <v>53201.1762561761</v>
      </c>
      <c r="G9" s="13" t="n">
        <f aca="false">C9-F9</f>
        <v>1573327439.13955</v>
      </c>
    </row>
    <row r="10" customFormat="false" ht="13.8" hidden="false" customHeight="false" outlineLevel="0" collapsed="false">
      <c r="A10" s="8" t="n">
        <v>6</v>
      </c>
      <c r="B10" s="11" t="n">
        <f aca="false">EDATE(Parámetros!$B$6,A10-1)</f>
        <v>44873</v>
      </c>
      <c r="C10" s="12" t="n">
        <f aca="false">G9</f>
        <v>1573327439.13955</v>
      </c>
      <c r="D10" s="12" t="n">
        <f aca="false">LOOKUP(A10,Parámetros!$A$10:$A$11,Parámetros!$D$10:$D$11)</f>
        <v>10542465.5522076</v>
      </c>
      <c r="E10" s="12" t="n">
        <f aca="false">C10*LOOKUP(A10,Parámetros!$A$10:$A$11,Parámetros!$C$10:$C$11)</f>
        <v>10488909.6994106</v>
      </c>
      <c r="F10" s="12" t="n">
        <f aca="false">D10-E10</f>
        <v>53555.8527969718</v>
      </c>
      <c r="G10" s="13" t="n">
        <f aca="false">C10-F10</f>
        <v>1573273883.28675</v>
      </c>
    </row>
    <row r="11" customFormat="false" ht="13.8" hidden="false" customHeight="false" outlineLevel="0" collapsed="false">
      <c r="A11" s="8" t="n">
        <v>7</v>
      </c>
      <c r="B11" s="11" t="n">
        <f aca="false">EDATE(Parámetros!$B$6,A11-1)</f>
        <v>44903</v>
      </c>
      <c r="C11" s="12" t="n">
        <f aca="false">G10</f>
        <v>1573273883.28675</v>
      </c>
      <c r="D11" s="12" t="n">
        <f aca="false">LOOKUP(A11,Parámetros!$A$10:$A$11,Parámetros!$D$10:$D$11)</f>
        <v>12187518.2517749</v>
      </c>
      <c r="E11" s="12" t="n">
        <f aca="false">C11*LOOKUP(A11,Parámetros!$A$10:$A$11,Parámetros!$C$10:$C$11)</f>
        <v>12160552.2713726</v>
      </c>
      <c r="F11" s="12" t="n">
        <f aca="false">D11-E11</f>
        <v>26965.9804022815</v>
      </c>
      <c r="G11" s="13" t="n">
        <f aca="false">C11-F11</f>
        <v>1573246917.30635</v>
      </c>
    </row>
    <row r="12" customFormat="false" ht="13.8" hidden="false" customHeight="false" outlineLevel="0" collapsed="false">
      <c r="A12" s="8" t="n">
        <v>8</v>
      </c>
      <c r="B12" s="11" t="n">
        <f aca="false">EDATE(Parámetros!$B$6,A12-1)</f>
        <v>44934</v>
      </c>
      <c r="C12" s="12" t="n">
        <f aca="false">G11</f>
        <v>1573246917.30635</v>
      </c>
      <c r="D12" s="12" t="n">
        <f aca="false">LOOKUP(A12,Parámetros!$A$10:$A$11,Parámetros!$D$10:$D$11)</f>
        <v>12187518.2517749</v>
      </c>
      <c r="E12" s="12" t="n">
        <f aca="false">C12*LOOKUP(A12,Parámetros!$A$10:$A$11,Parámetros!$C$10:$C$11)</f>
        <v>12160343.8389962</v>
      </c>
      <c r="F12" s="12" t="n">
        <f aca="false">D12-E12</f>
        <v>27174.4127786867</v>
      </c>
      <c r="G12" s="13" t="n">
        <f aca="false">C12-F12</f>
        <v>1573219742.89357</v>
      </c>
    </row>
    <row r="13" customFormat="false" ht="13.8" hidden="false" customHeight="false" outlineLevel="0" collapsed="false">
      <c r="A13" s="8" t="n">
        <v>9</v>
      </c>
      <c r="B13" s="11" t="n">
        <f aca="false">EDATE(Parámetros!$B$6,A13-1)</f>
        <v>44965</v>
      </c>
      <c r="C13" s="12" t="n">
        <f aca="false">G12</f>
        <v>1573219742.89357</v>
      </c>
      <c r="D13" s="12" t="n">
        <f aca="false">LOOKUP(A13,Parámetros!$A$10:$A$11,Parámetros!$D$10:$D$11)</f>
        <v>12187518.2517749</v>
      </c>
      <c r="E13" s="12" t="n">
        <f aca="false">C13*LOOKUP(A13,Parámetros!$A$10:$A$11,Parámetros!$C$10:$C$11)</f>
        <v>12160133.7955508</v>
      </c>
      <c r="F13" s="12" t="n">
        <f aca="false">D13-E13</f>
        <v>27384.4562241081</v>
      </c>
      <c r="G13" s="13" t="n">
        <f aca="false">C13-F13</f>
        <v>1573192358.43735</v>
      </c>
    </row>
    <row r="14" customFormat="false" ht="13.8" hidden="false" customHeight="false" outlineLevel="0" collapsed="false">
      <c r="A14" s="8" t="n">
        <v>10</v>
      </c>
      <c r="B14" s="11" t="n">
        <f aca="false">EDATE(Parámetros!$B$6,A14-1)</f>
        <v>44993</v>
      </c>
      <c r="C14" s="12" t="n">
        <f aca="false">G13</f>
        <v>1573192358.43735</v>
      </c>
      <c r="D14" s="12" t="n">
        <f aca="false">LOOKUP(A14,Parámetros!$A$10:$A$11,Parámetros!$D$10:$D$11)</f>
        <v>12187518.2517749</v>
      </c>
      <c r="E14" s="12" t="n">
        <f aca="false">C14*LOOKUP(A14,Parámetros!$A$10:$A$11,Parámetros!$C$10:$C$11)</f>
        <v>12159922.1285837</v>
      </c>
      <c r="F14" s="12" t="n">
        <f aca="false">D14-E14</f>
        <v>27596.1231912375</v>
      </c>
      <c r="G14" s="13" t="n">
        <f aca="false">C14-F14</f>
        <v>1573164762.31416</v>
      </c>
    </row>
    <row r="15" customFormat="false" ht="13.8" hidden="false" customHeight="false" outlineLevel="0" collapsed="false">
      <c r="A15" s="8" t="n">
        <v>11</v>
      </c>
      <c r="B15" s="11" t="n">
        <f aca="false">EDATE(Parámetros!$B$6,A15-1)</f>
        <v>45024</v>
      </c>
      <c r="C15" s="12" t="n">
        <f aca="false">G14</f>
        <v>1573164762.31416</v>
      </c>
      <c r="D15" s="12" t="n">
        <f aca="false">LOOKUP(A15,Parámetros!$A$10:$A$11,Parámetros!$D$10:$D$11)</f>
        <v>12187518.2517749</v>
      </c>
      <c r="E15" s="12" t="n">
        <f aca="false">C15*LOOKUP(A15,Parámetros!$A$10:$A$11,Parámetros!$C$10:$C$11)</f>
        <v>12159708.8255459</v>
      </c>
      <c r="F15" s="12" t="n">
        <f aca="false">D15-E15</f>
        <v>27809.4262290113</v>
      </c>
      <c r="G15" s="13" t="n">
        <f aca="false">C15-F15</f>
        <v>1573136952.88793</v>
      </c>
    </row>
    <row r="16" customFormat="false" ht="13.8" hidden="false" customHeight="false" outlineLevel="0" collapsed="false">
      <c r="A16" s="8" t="n">
        <v>12</v>
      </c>
      <c r="B16" s="11" t="n">
        <f aca="false">EDATE(Parámetros!$B$6,A16-1)</f>
        <v>45054</v>
      </c>
      <c r="C16" s="12" t="n">
        <f aca="false">G15</f>
        <v>1573136952.88793</v>
      </c>
      <c r="D16" s="12" t="n">
        <f aca="false">LOOKUP(A16,Parámetros!$A$10:$A$11,Parámetros!$D$10:$D$11)</f>
        <v>12187518.2517749</v>
      </c>
      <c r="E16" s="12" t="n">
        <f aca="false">C16*LOOKUP(A16,Parámetros!$A$10:$A$11,Parámetros!$C$10:$C$11)</f>
        <v>12159493.8737915</v>
      </c>
      <c r="F16" s="12" t="n">
        <f aca="false">D16-E16</f>
        <v>28024.3779833671</v>
      </c>
      <c r="G16" s="13" t="n">
        <f aca="false">C16-F16</f>
        <v>1573108928.50994</v>
      </c>
    </row>
    <row r="17" customFormat="false" ht="13.8" hidden="false" customHeight="false" outlineLevel="0" collapsed="false">
      <c r="A17" s="8" t="n">
        <v>13</v>
      </c>
      <c r="B17" s="11" t="n">
        <f aca="false">EDATE(Parámetros!$B$6,A17-1)</f>
        <v>45085</v>
      </c>
      <c r="C17" s="12" t="n">
        <f aca="false">G16</f>
        <v>1573108928.50994</v>
      </c>
      <c r="D17" s="12" t="n">
        <f aca="false">LOOKUP(A17,Parámetros!$A$10:$A$11,Parámetros!$D$10:$D$11)</f>
        <v>12187518.2517749</v>
      </c>
      <c r="E17" s="12" t="n">
        <f aca="false">C17*LOOKUP(A17,Parámetros!$A$10:$A$11,Parámetros!$C$10:$C$11)</f>
        <v>12159277.2605769</v>
      </c>
      <c r="F17" s="12" t="n">
        <f aca="false">D17-E17</f>
        <v>28240.9911979884</v>
      </c>
      <c r="G17" s="13" t="n">
        <f aca="false">C17-F17</f>
        <v>1573080687.51875</v>
      </c>
    </row>
    <row r="18" customFormat="false" ht="13.8" hidden="false" customHeight="false" outlineLevel="0" collapsed="false">
      <c r="A18" s="8" t="n">
        <v>14</v>
      </c>
      <c r="B18" s="11" t="n">
        <f aca="false">EDATE(Parámetros!$B$6,A18-1)</f>
        <v>45115</v>
      </c>
      <c r="C18" s="12" t="n">
        <f aca="false">G17</f>
        <v>1573080687.51875</v>
      </c>
      <c r="D18" s="12" t="n">
        <f aca="false">LOOKUP(A18,Parámetros!$A$10:$A$11,Parámetros!$D$10:$D$11)</f>
        <v>12187518.2517749</v>
      </c>
      <c r="E18" s="12" t="n">
        <f aca="false">C18*LOOKUP(A18,Parámetros!$A$10:$A$11,Parámetros!$C$10:$C$11)</f>
        <v>12159058.9730599</v>
      </c>
      <c r="F18" s="12" t="n">
        <f aca="false">D18-E18</f>
        <v>28459.2787150629</v>
      </c>
      <c r="G18" s="13" t="n">
        <f aca="false">C18-F18</f>
        <v>1573052228.24003</v>
      </c>
    </row>
    <row r="19" customFormat="false" ht="13.8" hidden="false" customHeight="false" outlineLevel="0" collapsed="false">
      <c r="A19" s="8" t="n">
        <v>15</v>
      </c>
      <c r="B19" s="11" t="n">
        <f aca="false">EDATE(Parámetros!$B$6,A19-1)</f>
        <v>45146</v>
      </c>
      <c r="C19" s="12" t="n">
        <f aca="false">G18</f>
        <v>1573052228.24003</v>
      </c>
      <c r="D19" s="12" t="n">
        <f aca="false">LOOKUP(A19,Parámetros!$A$10:$A$11,Parámetros!$D$10:$D$11)</f>
        <v>12187518.2517749</v>
      </c>
      <c r="E19" s="12" t="n">
        <f aca="false">C19*LOOKUP(A19,Parámetros!$A$10:$A$11,Parámetros!$C$10:$C$11)</f>
        <v>12158838.9982989</v>
      </c>
      <c r="F19" s="12" t="n">
        <f aca="false">D19-E19</f>
        <v>28679.2534760349</v>
      </c>
      <c r="G19" s="13" t="n">
        <f aca="false">C19-F19</f>
        <v>1573023548.98655</v>
      </c>
    </row>
    <row r="20" customFormat="false" ht="13.8" hidden="false" customHeight="false" outlineLevel="0" collapsed="false">
      <c r="A20" s="8" t="n">
        <v>16</v>
      </c>
      <c r="B20" s="11" t="n">
        <f aca="false">EDATE(Parámetros!$B$6,A20-1)</f>
        <v>45177</v>
      </c>
      <c r="C20" s="12" t="n">
        <f aca="false">G19</f>
        <v>1573023548.98655</v>
      </c>
      <c r="D20" s="12" t="n">
        <f aca="false">LOOKUP(A20,Parámetros!$A$10:$A$11,Parámetros!$D$10:$D$11)</f>
        <v>12187518.2517749</v>
      </c>
      <c r="E20" s="12" t="n">
        <f aca="false">C20*LOOKUP(A20,Parámetros!$A$10:$A$11,Parámetros!$C$10:$C$11)</f>
        <v>12158617.3232525</v>
      </c>
      <c r="F20" s="12" t="n">
        <f aca="false">D20-E20</f>
        <v>28900.9285223857</v>
      </c>
      <c r="G20" s="13" t="n">
        <f aca="false">C20-F20</f>
        <v>1572994648.05803</v>
      </c>
    </row>
    <row r="21" customFormat="false" ht="13.8" hidden="false" customHeight="false" outlineLevel="0" collapsed="false">
      <c r="A21" s="8" t="n">
        <v>17</v>
      </c>
      <c r="B21" s="11" t="n">
        <f aca="false">EDATE(Parámetros!$B$6,A21-1)</f>
        <v>45207</v>
      </c>
      <c r="C21" s="12" t="n">
        <f aca="false">G20</f>
        <v>1572994648.05803</v>
      </c>
      <c r="D21" s="12" t="n">
        <f aca="false">LOOKUP(A21,Parámetros!$A$10:$A$11,Parámetros!$D$10:$D$11)</f>
        <v>12187518.2517749</v>
      </c>
      <c r="E21" s="12" t="n">
        <f aca="false">C21*LOOKUP(A21,Parámetros!$A$10:$A$11,Parámetros!$C$10:$C$11)</f>
        <v>12158393.9347785</v>
      </c>
      <c r="F21" s="12" t="n">
        <f aca="false">D21-E21</f>
        <v>29124.3169963956</v>
      </c>
      <c r="G21" s="13" t="n">
        <f aca="false">C21-F21</f>
        <v>1572965523.74104</v>
      </c>
    </row>
    <row r="22" customFormat="false" ht="13.8" hidden="false" customHeight="false" outlineLevel="0" collapsed="false">
      <c r="A22" s="8" t="n">
        <v>18</v>
      </c>
      <c r="B22" s="11" t="n">
        <f aca="false">EDATE(Parámetros!$B$6,A22-1)</f>
        <v>45238</v>
      </c>
      <c r="C22" s="12" t="n">
        <f aca="false">G21</f>
        <v>1572965523.74104</v>
      </c>
      <c r="D22" s="12" t="n">
        <f aca="false">LOOKUP(A22,Parámetros!$A$10:$A$11,Parámetros!$D$10:$D$11)</f>
        <v>12187518.2517749</v>
      </c>
      <c r="E22" s="12" t="n">
        <f aca="false">C22*LOOKUP(A22,Parámetros!$A$10:$A$11,Parámetros!$C$10:$C$11)</f>
        <v>12158168.819633</v>
      </c>
      <c r="F22" s="12" t="n">
        <f aca="false">D22-E22</f>
        <v>29349.4321419299</v>
      </c>
      <c r="G22" s="13" t="n">
        <f aca="false">C22-F22</f>
        <v>1572936174.30889</v>
      </c>
    </row>
    <row r="23" customFormat="false" ht="13.8" hidden="false" customHeight="false" outlineLevel="0" collapsed="false">
      <c r="A23" s="8" t="n">
        <v>19</v>
      </c>
      <c r="B23" s="11" t="n">
        <f aca="false">EDATE(Parámetros!$B$6,A23-1)</f>
        <v>45268</v>
      </c>
      <c r="C23" s="12" t="n">
        <f aca="false">G22</f>
        <v>1572936174.30889</v>
      </c>
      <c r="D23" s="12" t="n">
        <f aca="false">LOOKUP(A23,Parámetros!$A$10:$A$11,Parámetros!$D$10:$D$11)</f>
        <v>12187518.2517749</v>
      </c>
      <c r="E23" s="12" t="n">
        <f aca="false">C23*LOOKUP(A23,Parámetros!$A$10:$A$11,Parámetros!$C$10:$C$11)</f>
        <v>12157941.9644697</v>
      </c>
      <c r="F23" s="12" t="n">
        <f aca="false">D23-E23</f>
        <v>29576.2873052247</v>
      </c>
      <c r="G23" s="13" t="n">
        <f aca="false">C23-F23</f>
        <v>1572906598.02159</v>
      </c>
    </row>
    <row r="24" customFormat="false" ht="13.8" hidden="false" customHeight="false" outlineLevel="0" collapsed="false">
      <c r="A24" s="8" t="n">
        <v>20</v>
      </c>
      <c r="B24" s="11" t="n">
        <f aca="false">EDATE(Parámetros!$B$6,A24-1)</f>
        <v>45299</v>
      </c>
      <c r="C24" s="12" t="n">
        <f aca="false">G23</f>
        <v>1572906598.02159</v>
      </c>
      <c r="D24" s="12" t="n">
        <f aca="false">LOOKUP(A24,Parámetros!$A$10:$A$11,Parámetros!$D$10:$D$11)</f>
        <v>12187518.2517749</v>
      </c>
      <c r="E24" s="12" t="n">
        <f aca="false">C24*LOOKUP(A24,Parámetros!$A$10:$A$11,Parámetros!$C$10:$C$11)</f>
        <v>12157713.3558392</v>
      </c>
      <c r="F24" s="12" t="n">
        <f aca="false">D24-E24</f>
        <v>29804.8959356658</v>
      </c>
      <c r="G24" s="13" t="n">
        <f aca="false">C24-F24</f>
        <v>1572876793.12565</v>
      </c>
    </row>
    <row r="25" customFormat="false" ht="13.8" hidden="false" customHeight="false" outlineLevel="0" collapsed="false">
      <c r="A25" s="8" t="n">
        <v>21</v>
      </c>
      <c r="B25" s="11" t="n">
        <f aca="false">EDATE(Parámetros!$B$6,A25-1)</f>
        <v>45330</v>
      </c>
      <c r="C25" s="12" t="n">
        <f aca="false">G24</f>
        <v>1572876793.12565</v>
      </c>
      <c r="D25" s="12" t="n">
        <f aca="false">LOOKUP(A25,Parámetros!$A$10:$A$11,Parámetros!$D$10:$D$11)</f>
        <v>12187518.2517749</v>
      </c>
      <c r="E25" s="12" t="n">
        <f aca="false">C25*LOOKUP(A25,Parámetros!$A$10:$A$11,Parámetros!$C$10:$C$11)</f>
        <v>12157482.9801883</v>
      </c>
      <c r="F25" s="12" t="n">
        <f aca="false">D25-E25</f>
        <v>30035.2715866063</v>
      </c>
      <c r="G25" s="13" t="n">
        <f aca="false">C25-F25</f>
        <v>1572846757.85407</v>
      </c>
    </row>
    <row r="26" customFormat="false" ht="13.8" hidden="false" customHeight="false" outlineLevel="0" collapsed="false">
      <c r="A26" s="8" t="n">
        <v>22</v>
      </c>
      <c r="B26" s="11" t="n">
        <f aca="false">EDATE(Parámetros!$B$6,A26-1)</f>
        <v>45359</v>
      </c>
      <c r="C26" s="12" t="n">
        <f aca="false">G25</f>
        <v>1572846757.85407</v>
      </c>
      <c r="D26" s="12" t="n">
        <f aca="false">LOOKUP(A26,Parámetros!$A$10:$A$11,Parámetros!$D$10:$D$11)</f>
        <v>12187518.2517749</v>
      </c>
      <c r="E26" s="12" t="n">
        <f aca="false">C26*LOOKUP(A26,Parámetros!$A$10:$A$11,Parámetros!$C$10:$C$11)</f>
        <v>12157250.8238588</v>
      </c>
      <c r="F26" s="12" t="n">
        <f aca="false">D26-E26</f>
        <v>30267.4279161524</v>
      </c>
      <c r="G26" s="13" t="n">
        <f aca="false">C26-F26</f>
        <v>1572816490.42615</v>
      </c>
    </row>
    <row r="27" customFormat="false" ht="13.8" hidden="false" customHeight="false" outlineLevel="0" collapsed="false">
      <c r="A27" s="8" t="n">
        <v>23</v>
      </c>
      <c r="B27" s="11" t="n">
        <f aca="false">EDATE(Parámetros!$B$6,A27-1)</f>
        <v>45390</v>
      </c>
      <c r="C27" s="12" t="n">
        <f aca="false">G26</f>
        <v>1572816490.42615</v>
      </c>
      <c r="D27" s="12" t="n">
        <f aca="false">LOOKUP(A27,Parámetros!$A$10:$A$11,Parámetros!$D$10:$D$11)</f>
        <v>12187518.2517749</v>
      </c>
      <c r="E27" s="12" t="n">
        <f aca="false">C27*LOOKUP(A27,Parámetros!$A$10:$A$11,Parámetros!$C$10:$C$11)</f>
        <v>12157016.8730869</v>
      </c>
      <c r="F27" s="12" t="n">
        <f aca="false">D27-E27</f>
        <v>30501.3786879797</v>
      </c>
      <c r="G27" s="13" t="n">
        <f aca="false">C27-F27</f>
        <v>1572785989.04746</v>
      </c>
    </row>
    <row r="28" customFormat="false" ht="13.8" hidden="false" customHeight="false" outlineLevel="0" collapsed="false">
      <c r="A28" s="8" t="n">
        <v>24</v>
      </c>
      <c r="B28" s="11" t="n">
        <f aca="false">EDATE(Parámetros!$B$6,A28-1)</f>
        <v>45420</v>
      </c>
      <c r="C28" s="12" t="n">
        <f aca="false">G27</f>
        <v>1572785989.04746</v>
      </c>
      <c r="D28" s="12" t="n">
        <f aca="false">LOOKUP(A28,Parámetros!$A$10:$A$11,Parámetros!$D$10:$D$11)</f>
        <v>12187518.2517749</v>
      </c>
      <c r="E28" s="12" t="n">
        <f aca="false">C28*LOOKUP(A28,Parámetros!$A$10:$A$11,Parámetros!$C$10:$C$11)</f>
        <v>12156781.1140028</v>
      </c>
      <c r="F28" s="12" t="n">
        <f aca="false">D28-E28</f>
        <v>30737.1377721597</v>
      </c>
      <c r="G28" s="13" t="n">
        <f aca="false">C28-F28</f>
        <v>1572755251.90969</v>
      </c>
    </row>
    <row r="29" customFormat="false" ht="13.8" hidden="false" customHeight="false" outlineLevel="0" collapsed="false">
      <c r="A29" s="8" t="n">
        <v>25</v>
      </c>
      <c r="B29" s="11" t="n">
        <f aca="false">EDATE(Parámetros!$B$6,A29-1)</f>
        <v>45451</v>
      </c>
      <c r="C29" s="12" t="n">
        <f aca="false">G28</f>
        <v>1572755251.90969</v>
      </c>
      <c r="D29" s="12" t="n">
        <f aca="false">LOOKUP(A29,Parámetros!$A$10:$A$11,Parámetros!$D$10:$D$11)</f>
        <v>12187518.2517749</v>
      </c>
      <c r="E29" s="12" t="n">
        <f aca="false">C29*LOOKUP(A29,Parámetros!$A$10:$A$11,Parámetros!$C$10:$C$11)</f>
        <v>12156543.532629</v>
      </c>
      <c r="F29" s="12" t="n">
        <f aca="false">D29-E29</f>
        <v>30974.7191459555</v>
      </c>
      <c r="G29" s="13" t="n">
        <f aca="false">C29-F29</f>
        <v>1572724277.19054</v>
      </c>
    </row>
    <row r="30" customFormat="false" ht="13.8" hidden="false" customHeight="false" outlineLevel="0" collapsed="false">
      <c r="A30" s="8" t="n">
        <v>26</v>
      </c>
      <c r="B30" s="11" t="n">
        <f aca="false">EDATE(Parámetros!$B$6,A30-1)</f>
        <v>45481</v>
      </c>
      <c r="C30" s="12" t="n">
        <f aca="false">G29</f>
        <v>1572724277.19054</v>
      </c>
      <c r="D30" s="12" t="n">
        <f aca="false">LOOKUP(A30,Parámetros!$A$10:$A$11,Parámetros!$D$10:$D$11)</f>
        <v>12187518.2517749</v>
      </c>
      <c r="E30" s="12" t="n">
        <f aca="false">C30*LOOKUP(A30,Parámetros!$A$10:$A$11,Parámetros!$C$10:$C$11)</f>
        <v>12156304.1148802</v>
      </c>
      <c r="F30" s="12" t="n">
        <f aca="false">D30-E30</f>
        <v>31214.1368946824</v>
      </c>
      <c r="G30" s="13" t="n">
        <f aca="false">C30-F30</f>
        <v>1572693063.05365</v>
      </c>
    </row>
    <row r="31" customFormat="false" ht="13.8" hidden="false" customHeight="false" outlineLevel="0" collapsed="false">
      <c r="A31" s="8" t="n">
        <v>27</v>
      </c>
      <c r="B31" s="11" t="n">
        <f aca="false">EDATE(Parámetros!$B$6,A31-1)</f>
        <v>45512</v>
      </c>
      <c r="C31" s="12" t="n">
        <f aca="false">G30</f>
        <v>1572693063.05365</v>
      </c>
      <c r="D31" s="12" t="n">
        <f aca="false">LOOKUP(A31,Parámetros!$A$10:$A$11,Parámetros!$D$10:$D$11)</f>
        <v>12187518.2517749</v>
      </c>
      <c r="E31" s="12" t="n">
        <f aca="false">C31*LOOKUP(A31,Parámetros!$A$10:$A$11,Parámetros!$C$10:$C$11)</f>
        <v>12156062.8465624</v>
      </c>
      <c r="F31" s="12" t="n">
        <f aca="false">D31-E31</f>
        <v>31455.405212516</v>
      </c>
      <c r="G31" s="13" t="n">
        <f aca="false">C31-F31</f>
        <v>1572661607.64844</v>
      </c>
    </row>
    <row r="32" customFormat="false" ht="13.8" hidden="false" customHeight="false" outlineLevel="0" collapsed="false">
      <c r="A32" s="8" t="n">
        <v>28</v>
      </c>
      <c r="B32" s="11" t="n">
        <f aca="false">EDATE(Parámetros!$B$6,A32-1)</f>
        <v>45543</v>
      </c>
      <c r="C32" s="12" t="n">
        <f aca="false">G31</f>
        <v>1572661607.64844</v>
      </c>
      <c r="D32" s="12" t="n">
        <f aca="false">LOOKUP(A32,Parámetros!$A$10:$A$11,Parámetros!$D$10:$D$11)</f>
        <v>12187518.2517749</v>
      </c>
      <c r="E32" s="12" t="n">
        <f aca="false">C32*LOOKUP(A32,Parámetros!$A$10:$A$11,Parámetros!$C$10:$C$11)</f>
        <v>12155819.7133716</v>
      </c>
      <c r="F32" s="12" t="n">
        <f aca="false">D32-E32</f>
        <v>31698.5384033527</v>
      </c>
      <c r="G32" s="13" t="n">
        <f aca="false">C32-F32</f>
        <v>1572629909.11003</v>
      </c>
    </row>
    <row r="33" customFormat="false" ht="13.8" hidden="false" customHeight="false" outlineLevel="0" collapsed="false">
      <c r="A33" s="8" t="n">
        <v>29</v>
      </c>
      <c r="B33" s="11" t="n">
        <f aca="false">EDATE(Parámetros!$B$6,A33-1)</f>
        <v>45573</v>
      </c>
      <c r="C33" s="12" t="n">
        <f aca="false">G32</f>
        <v>1572629909.11003</v>
      </c>
      <c r="D33" s="12" t="n">
        <f aca="false">LOOKUP(A33,Parámetros!$A$10:$A$11,Parámetros!$D$10:$D$11)</f>
        <v>12187518.2517749</v>
      </c>
      <c r="E33" s="12" t="n">
        <f aca="false">C33*LOOKUP(A33,Parámetros!$A$10:$A$11,Parámetros!$C$10:$C$11)</f>
        <v>12155574.7008933</v>
      </c>
      <c r="F33" s="12" t="n">
        <f aca="false">D33-E33</f>
        <v>31943.5508816466</v>
      </c>
      <c r="G33" s="13" t="n">
        <f aca="false">C33-F33</f>
        <v>1572597965.55915</v>
      </c>
    </row>
    <row r="34" customFormat="false" ht="13.8" hidden="false" customHeight="false" outlineLevel="0" collapsed="false">
      <c r="A34" s="8" t="n">
        <v>30</v>
      </c>
      <c r="B34" s="11" t="n">
        <f aca="false">EDATE(Parámetros!$B$6,A34-1)</f>
        <v>45604</v>
      </c>
      <c r="C34" s="12" t="n">
        <f aca="false">G33</f>
        <v>1572597965.55915</v>
      </c>
      <c r="D34" s="12" t="n">
        <f aca="false">E34+F34</f>
        <v>1584753293.35375</v>
      </c>
      <c r="E34" s="12" t="n">
        <f aca="false">C34*LOOKUP(A34,Parámetros!$A$10:$A$11,Parámetros!$C$10:$C$11)</f>
        <v>12155327.7946016</v>
      </c>
      <c r="F34" s="12" t="n">
        <f aca="false">C34</f>
        <v>1572597965.55915</v>
      </c>
      <c r="G34" s="13" t="n">
        <f aca="false">C34-F34</f>
        <v>0</v>
      </c>
    </row>
    <row r="35" customFormat="false" ht="13.8" hidden="false" customHeight="false" outlineLevel="0" collapsed="false"/>
    <row r="36" customFormat="false" ht="13.8" hidden="false" customHeight="false" outlineLevel="0" collapsed="false">
      <c r="B36" s="14" t="s">
        <v>23</v>
      </c>
      <c r="D36" s="15" t="n">
        <f aca="false">SUM(D5:D34)</f>
        <v>1928321006.45782</v>
      </c>
    </row>
    <row r="37" customFormat="false" ht="13.8" hidden="false" customHeight="false" outlineLevel="0" collapsed="false">
      <c r="B37" s="15" t="s">
        <v>24</v>
      </c>
      <c r="D37" s="15" t="n">
        <f aca="false">SUM(E5:E34)</f>
        <v>354731061.457822</v>
      </c>
    </row>
    <row r="38" customFormat="false" ht="13.8" hidden="false" customHeight="false" outlineLevel="0" collapsed="false">
      <c r="B38" s="15" t="s">
        <v>25</v>
      </c>
      <c r="D38" s="15" t="n">
        <f aca="false">SUM(F5:F34)</f>
        <v>1573589945</v>
      </c>
    </row>
    <row r="39" customFormat="false" ht="13.8" hidden="false" customHeight="false" outlineLevel="0" collapsed="false">
      <c r="B39" s="10" t="s">
        <v>26</v>
      </c>
    </row>
    <row r="40" customFormat="false" ht="13.8" hidden="false" customHeight="false" outlineLevel="0" collapsed="false">
      <c r="B40" s="13" t="s">
        <v>27</v>
      </c>
      <c r="D40" s="10" t="str">
        <f aca="false">IF(ABS(G34)&lt;=0.0001,"OK","REVISAR")</f>
        <v>OK</v>
      </c>
    </row>
    <row r="41" customFormat="false" ht="13.8" hidden="false" customHeight="false" outlineLevel="0" collapsed="false">
      <c r="B41" s="13" t="s">
        <v>28</v>
      </c>
      <c r="D41" s="10" t="str">
        <f aca="false">IF(ABS(D38-Parámetros!$B$3)&lt;=0.0001,"OK","REVISAR")</f>
        <v>OK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es-CO</dc:language>
  <cp:lastModifiedBy/>
  <dcterms:modified xsi:type="dcterms:W3CDTF">2026-07-15T20:43:58Z</dcterms:modified>
  <cp:revision>1</cp:revision>
  <dc:subject/>
  <dc:title/>
</cp:coreProperties>
</file>